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dts-service\"/>
    </mc:Choice>
  </mc:AlternateContent>
  <xr:revisionPtr revIDLastSave="0" documentId="8_{E1A04222-BE45-4AF2-923F-689FAB388B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32" i="1"/>
  <c r="F20" i="1"/>
  <c r="F19" i="1"/>
  <c r="F18" i="1"/>
  <c r="F22" i="1" s="1"/>
  <c r="F34" i="1" l="1"/>
  <c r="F33" i="1" s="1"/>
  <c r="F21" i="1"/>
</calcChain>
</file>

<file path=xl/sharedStrings.xml><?xml version="1.0" encoding="utf-8"?>
<sst xmlns="http://schemas.openxmlformats.org/spreadsheetml/2006/main" count="42" uniqueCount="36">
  <si>
    <t>ФС.004 V1.2</t>
  </si>
  <si>
    <t xml:space="preserve"> </t>
  </si>
  <si>
    <t>Кошторис на ТО та роботи з відновлення працездатності  №</t>
  </si>
  <si>
    <t>Дата</t>
  </si>
  <si>
    <t>Найменування обладнання</t>
  </si>
  <si>
    <t>E BD EM 0022</t>
  </si>
  <si>
    <t>Замовник</t>
  </si>
  <si>
    <t>ТОВ Лайф Селл</t>
  </si>
  <si>
    <t>Адреса</t>
  </si>
  <si>
    <t>1. Виконані роботи</t>
  </si>
  <si>
    <t>№</t>
  </si>
  <si>
    <t>Найменування робіт</t>
  </si>
  <si>
    <t>Кількість</t>
  </si>
  <si>
    <t>Од. виміру</t>
  </si>
  <si>
    <t>Вартість,грн.з ПДВ</t>
  </si>
  <si>
    <t>Сума,грн. з ПДВ</t>
  </si>
  <si>
    <t xml:space="preserve">            Діагностика стаціонарного генератора </t>
  </si>
  <si>
    <t>послуга</t>
  </si>
  <si>
    <t>Аварійно-відновлювальні роботи ДГУ</t>
  </si>
  <si>
    <t>людино/
 година</t>
  </si>
  <si>
    <t>ПДВ 20%</t>
  </si>
  <si>
    <t>Разом з ПДВ, загальна сума, грн. :</t>
  </si>
  <si>
    <t>2. Матеріали та запасні частини</t>
  </si>
  <si>
    <t>Найменування</t>
  </si>
  <si>
    <t xml:space="preserve"> шт</t>
  </si>
  <si>
    <t>Разом матеріали та запасні части  з ПДВ.:</t>
  </si>
  <si>
    <t>Загальная сума ПДВ, грн. :</t>
  </si>
  <si>
    <t xml:space="preserve">Разом,  роботи та матеріали з ПДВ,грн. : </t>
  </si>
  <si>
    <t>Керівник сервісної служби   _________________________________________</t>
  </si>
  <si>
    <t>DATAKOM BC-5A-W Високоефективний зарядний пристрій</t>
  </si>
  <si>
    <t xml:space="preserve">Транспорт  у 2 сторони </t>
  </si>
  <si>
    <t>км</t>
  </si>
  <si>
    <t>ZH9102</t>
  </si>
  <si>
    <t>KV-0001102</t>
  </si>
  <si>
    <t>Житомирська область, Коростенський район, Білокоровицька сільська громада, село Білокоровичі, вул. Gagarina, 43</t>
  </si>
  <si>
    <t>Сайт ID 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</si>
</sst>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1"/>
      <name val="Arial"/>
      <family val="2"/>
      <charset val="204"/>
    </font>
    <font>
      <sz val="11"/>
      <color theme="1"/>
      <name val="Calibri Light"/>
      <family val="2"/>
      <charset val="204"/>
      <scheme val="major"/>
    </font>
    <font>
      <b/>
      <sz val="11"/>
      <color theme="1"/>
      <name val="Calibri Light"/>
      <family val="2"/>
      <charset val="204"/>
      <scheme val="major"/>
    </font>
    <font>
      <b/>
      <sz val="12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b/>
      <sz val="9"/>
      <color rgb="FF000000"/>
      <name val="Times New Roman"/>
      <family val="1"/>
      <charset val="204"/>
    </font>
    <font>
      <b/>
      <sz val="9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2" xfId="0" applyFont="1" applyBorder="1"/>
    <xf numFmtId="0" fontId="6" fillId="0" borderId="4" xfId="0" applyFont="1" applyBorder="1"/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4" fontId="0" fillId="0" borderId="0" xfId="0" applyNumberFormat="1"/>
    <xf numFmtId="0" fontId="10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vertical="center" wrapText="1"/>
    </xf>
    <xf numFmtId="1" fontId="12" fillId="0" borderId="6" xfId="0" applyNumberFormat="1" applyFont="1" applyBorder="1" applyAlignment="1">
      <alignment horizontal="center" vertical="center"/>
    </xf>
    <xf numFmtId="0" fontId="1" fillId="0" borderId="0" xfId="0" applyFont="1"/>
    <xf numFmtId="2" fontId="12" fillId="0" borderId="6" xfId="0" applyNumberFormat="1" applyFont="1" applyBorder="1" applyAlignment="1">
      <alignment horizontal="center" vertical="center"/>
    </xf>
    <xf numFmtId="4" fontId="12" fillId="0" borderId="6" xfId="0" applyNumberFormat="1" applyFont="1" applyBorder="1" applyAlignment="1">
      <alignment horizontal="center" vertical="center"/>
    </xf>
    <xf numFmtId="0" fontId="10" fillId="0" borderId="0" xfId="0" applyFont="1"/>
    <xf numFmtId="0" fontId="1" fillId="0" borderId="0" xfId="0" applyFont="1" applyAlignment="1">
      <alignment wrapText="1"/>
    </xf>
    <xf numFmtId="1" fontId="10" fillId="0" borderId="6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vertical="center"/>
    </xf>
    <xf numFmtId="4" fontId="10" fillId="0" borderId="6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49" fontId="10" fillId="0" borderId="6" xfId="0" applyNumberFormat="1" applyFont="1" applyBorder="1" applyAlignment="1">
      <alignment wrapText="1"/>
    </xf>
    <xf numFmtId="0" fontId="1" fillId="0" borderId="0" xfId="0" applyFont="1" applyAlignment="1">
      <alignment horizontal="right"/>
    </xf>
    <xf numFmtId="4" fontId="1" fillId="0" borderId="6" xfId="0" applyNumberFormat="1" applyFont="1" applyBorder="1"/>
    <xf numFmtId="4" fontId="1" fillId="0" borderId="8" xfId="0" applyNumberFormat="1" applyFont="1" applyBorder="1"/>
    <xf numFmtId="0" fontId="13" fillId="0" borderId="6" xfId="0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4" fontId="10" fillId="0" borderId="6" xfId="0" applyNumberFormat="1" applyFont="1" applyBorder="1" applyAlignment="1">
      <alignment horizontal="center" vertical="center"/>
    </xf>
    <xf numFmtId="0" fontId="10" fillId="0" borderId="6" xfId="0" applyFont="1" applyBorder="1"/>
    <xf numFmtId="2" fontId="10" fillId="0" borderId="6" xfId="0" applyNumberFormat="1" applyFont="1" applyBorder="1"/>
    <xf numFmtId="4" fontId="10" fillId="0" borderId="6" xfId="0" applyNumberFormat="1" applyFont="1" applyBorder="1"/>
    <xf numFmtId="164" fontId="10" fillId="0" borderId="6" xfId="0" applyNumberFormat="1" applyFont="1" applyBorder="1" applyAlignment="1">
      <alignment horizontal="center" vertical="center"/>
    </xf>
    <xf numFmtId="0" fontId="12" fillId="0" borderId="0" xfId="0" applyFont="1"/>
    <xf numFmtId="0" fontId="11" fillId="0" borderId="0" xfId="0" applyFont="1" applyAlignment="1">
      <alignment horizontal="center" wrapText="1"/>
    </xf>
    <xf numFmtId="0" fontId="15" fillId="2" borderId="0" xfId="1" applyFont="1" applyFill="1" applyAlignment="1">
      <alignment wrapText="1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49" fontId="3" fillId="0" borderId="2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8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1" fillId="0" borderId="1" xfId="0" applyFont="1" applyBorder="1" applyAlignment="1">
      <alignment horizontal="right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19879</xdr:colOff>
      <xdr:row>0</xdr:row>
      <xdr:rowOff>61953</xdr:rowOff>
    </xdr:from>
    <xdr:to>
      <xdr:col>5</xdr:col>
      <xdr:colOff>903468</xdr:colOff>
      <xdr:row>3</xdr:row>
      <xdr:rowOff>127055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B213412-B962-4FED-AB21-F7C90230445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519" y="61953"/>
          <a:ext cx="6255689" cy="613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atakom.kiev.ua/catalog/ustatkuvannya_dlya_elektrogeneratoriv/zaryadni_pristroi_ta_bloki_zhivlennya/datakom_bc_5a_w_visokoefektivniy_zaryadniy_pristri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5"/>
  <sheetViews>
    <sheetView tabSelected="1" workbookViewId="0">
      <selection activeCell="K25" sqref="K25"/>
    </sheetView>
  </sheetViews>
  <sheetFormatPr defaultRowHeight="14.4" x14ac:dyDescent="0.3"/>
  <cols>
    <col min="2" max="2" width="23.6640625" customWidth="1"/>
    <col min="4" max="4" width="28" customWidth="1"/>
    <col min="6" max="6" width="16.109375" customWidth="1"/>
  </cols>
  <sheetData>
    <row r="1" spans="1:7" x14ac:dyDescent="0.3">
      <c r="F1" t="s">
        <v>0</v>
      </c>
    </row>
    <row r="2" spans="1:7" x14ac:dyDescent="0.3">
      <c r="F2" s="1" t="s">
        <v>1</v>
      </c>
    </row>
    <row r="6" spans="1:7" ht="15" thickBot="1" x14ac:dyDescent="0.35"/>
    <row r="7" spans="1:7" ht="18" thickBot="1" x14ac:dyDescent="0.35">
      <c r="A7" s="42" t="s">
        <v>2</v>
      </c>
      <c r="B7" s="42"/>
      <c r="C7" s="42"/>
      <c r="D7" s="43"/>
      <c r="E7" s="44" t="s">
        <v>33</v>
      </c>
      <c r="F7" s="45"/>
      <c r="G7" s="2"/>
    </row>
    <row r="8" spans="1:7" ht="18.600000000000001" thickBot="1" x14ac:dyDescent="0.35">
      <c r="C8" s="3"/>
      <c r="D8" s="4" t="s">
        <v>3</v>
      </c>
      <c r="E8" s="46">
        <v>46225</v>
      </c>
      <c r="F8" s="47"/>
      <c r="G8" s="3"/>
    </row>
    <row r="9" spans="1:7" ht="15" thickBot="1" x14ac:dyDescent="0.35">
      <c r="A9" s="5" t="s">
        <v>4</v>
      </c>
      <c r="B9" s="6"/>
      <c r="C9" s="48" t="s">
        <v>5</v>
      </c>
      <c r="D9" s="49"/>
      <c r="E9" s="49"/>
      <c r="F9" s="50"/>
    </row>
    <row r="10" spans="1:7" ht="15" thickBot="1" x14ac:dyDescent="0.35">
      <c r="A10" s="5" t="s">
        <v>35</v>
      </c>
      <c r="B10" s="6"/>
      <c r="C10" s="7" t="s">
        <v>32</v>
      </c>
      <c r="D10" s="8"/>
      <c r="E10" s="51"/>
      <c r="F10" s="52"/>
    </row>
    <row r="11" spans="1:7" ht="15" thickBot="1" x14ac:dyDescent="0.35">
      <c r="A11" s="5" t="s">
        <v>6</v>
      </c>
      <c r="B11" s="6"/>
      <c r="C11" s="53" t="s">
        <v>7</v>
      </c>
      <c r="D11" s="54"/>
      <c r="E11" s="54"/>
      <c r="F11" s="55"/>
    </row>
    <row r="12" spans="1:7" ht="15" thickBot="1" x14ac:dyDescent="0.35">
      <c r="A12" s="5" t="s">
        <v>8</v>
      </c>
      <c r="B12" s="6"/>
      <c r="C12" s="53" t="s">
        <v>34</v>
      </c>
      <c r="D12" s="54"/>
      <c r="E12" s="54"/>
      <c r="F12" s="55"/>
    </row>
    <row r="13" spans="1:7" ht="16.2" thickBot="1" x14ac:dyDescent="0.35">
      <c r="A13" s="9"/>
      <c r="B13" s="56" t="s">
        <v>9</v>
      </c>
      <c r="C13" s="57"/>
      <c r="D13" s="57"/>
      <c r="E13" s="57"/>
      <c r="F13" s="10"/>
      <c r="G13" s="10"/>
    </row>
    <row r="14" spans="1:7" ht="21" thickBot="1" x14ac:dyDescent="0.35">
      <c r="A14" s="11" t="s">
        <v>10</v>
      </c>
      <c r="B14" s="11" t="s">
        <v>11</v>
      </c>
      <c r="C14" s="11" t="s">
        <v>12</v>
      </c>
      <c r="D14" s="11" t="s">
        <v>13</v>
      </c>
      <c r="E14" s="12" t="s">
        <v>14</v>
      </c>
      <c r="F14" s="12" t="s">
        <v>15</v>
      </c>
      <c r="G14" s="13"/>
    </row>
    <row r="15" spans="1:7" ht="23.4" thickBot="1" x14ac:dyDescent="0.35">
      <c r="A15" s="14">
        <v>1</v>
      </c>
      <c r="B15" s="15" t="s">
        <v>16</v>
      </c>
      <c r="C15" s="16">
        <v>1</v>
      </c>
      <c r="D15" s="17" t="s">
        <v>17</v>
      </c>
      <c r="E15" s="18">
        <v>5700</v>
      </c>
      <c r="F15" s="19">
        <v>5700</v>
      </c>
      <c r="G15" s="20"/>
    </row>
    <row r="16" spans="1:7" ht="29.4" thickBot="1" x14ac:dyDescent="0.35">
      <c r="A16" s="14">
        <v>2</v>
      </c>
      <c r="B16" s="39" t="s">
        <v>18</v>
      </c>
      <c r="C16" s="16">
        <v>2</v>
      </c>
      <c r="D16" s="21" t="s">
        <v>19</v>
      </c>
      <c r="E16" s="18">
        <v>892.8</v>
      </c>
      <c r="F16" s="19">
        <f>C16*E16</f>
        <v>1785.6</v>
      </c>
      <c r="G16" s="20"/>
    </row>
    <row r="17" spans="1:7" ht="15" thickBot="1" x14ac:dyDescent="0.35">
      <c r="A17" s="14">
        <v>3</v>
      </c>
      <c r="B17" s="34" t="s">
        <v>30</v>
      </c>
      <c r="C17" s="22">
        <v>394</v>
      </c>
      <c r="D17" s="23" t="s">
        <v>31</v>
      </c>
      <c r="E17" s="35">
        <v>18</v>
      </c>
      <c r="F17" s="36">
        <v>7092</v>
      </c>
      <c r="G17" s="26"/>
    </row>
    <row r="18" spans="1:7" ht="15" thickBot="1" x14ac:dyDescent="0.35">
      <c r="A18" s="14">
        <v>4</v>
      </c>
      <c r="B18" s="27"/>
      <c r="C18" s="22"/>
      <c r="D18" s="23"/>
      <c r="E18" s="24"/>
      <c r="F18" s="25">
        <f t="shared" ref="F18:F20" si="0">E18*C18</f>
        <v>0</v>
      </c>
      <c r="G18" s="20"/>
    </row>
    <row r="19" spans="1:7" ht="15" thickBot="1" x14ac:dyDescent="0.35">
      <c r="A19" s="14">
        <v>5</v>
      </c>
      <c r="B19" s="27"/>
      <c r="C19" s="22"/>
      <c r="D19" s="23"/>
      <c r="E19" s="24"/>
      <c r="F19" s="25">
        <f t="shared" si="0"/>
        <v>0</v>
      </c>
      <c r="G19" s="20"/>
    </row>
    <row r="20" spans="1:7" ht="15" thickBot="1" x14ac:dyDescent="0.35">
      <c r="A20" s="14">
        <v>6</v>
      </c>
      <c r="B20" s="27"/>
      <c r="C20" s="22"/>
      <c r="D20" s="23"/>
      <c r="E20" s="24"/>
      <c r="F20" s="25">
        <f t="shared" si="0"/>
        <v>0</v>
      </c>
      <c r="G20" s="20"/>
    </row>
    <row r="21" spans="1:7" ht="15" thickBot="1" x14ac:dyDescent="0.35">
      <c r="C21" s="28"/>
      <c r="D21" s="1"/>
      <c r="E21" s="28" t="s">
        <v>20</v>
      </c>
      <c r="F21" s="29">
        <f>F22/6</f>
        <v>2429.6</v>
      </c>
    </row>
    <row r="22" spans="1:7" ht="15" thickBot="1" x14ac:dyDescent="0.35">
      <c r="C22" s="41" t="s">
        <v>21</v>
      </c>
      <c r="D22" s="41"/>
      <c r="E22" s="41"/>
      <c r="F22" s="30">
        <f>SUM(F15:F20)</f>
        <v>14577.6</v>
      </c>
    </row>
    <row r="23" spans="1:7" ht="16.2" thickBot="1" x14ac:dyDescent="0.35">
      <c r="A23" s="58" t="s">
        <v>22</v>
      </c>
      <c r="B23" s="58"/>
      <c r="C23" s="58"/>
      <c r="D23" s="58"/>
      <c r="E23" s="58"/>
      <c r="F23" s="58"/>
    </row>
    <row r="24" spans="1:7" ht="21" thickBot="1" x14ac:dyDescent="0.35">
      <c r="A24" s="31" t="s">
        <v>10</v>
      </c>
      <c r="B24" s="31" t="s">
        <v>23</v>
      </c>
      <c r="C24" s="11" t="s">
        <v>12</v>
      </c>
      <c r="D24" s="11" t="s">
        <v>13</v>
      </c>
      <c r="E24" s="12" t="s">
        <v>14</v>
      </c>
      <c r="F24" s="12" t="s">
        <v>15</v>
      </c>
      <c r="G24" s="20"/>
    </row>
    <row r="25" spans="1:7" ht="43.8" thickBot="1" x14ac:dyDescent="0.35">
      <c r="A25" s="14">
        <v>1</v>
      </c>
      <c r="B25" s="40" t="s">
        <v>29</v>
      </c>
      <c r="C25" s="22">
        <v>1</v>
      </c>
      <c r="D25" s="23" t="s">
        <v>24</v>
      </c>
      <c r="E25" s="32">
        <v>3974</v>
      </c>
      <c r="F25" s="33">
        <v>3974</v>
      </c>
      <c r="G25" s="20"/>
    </row>
    <row r="26" spans="1:7" ht="15" thickBot="1" x14ac:dyDescent="0.35">
      <c r="A26" s="14">
        <v>2</v>
      </c>
      <c r="G26" s="20"/>
    </row>
    <row r="27" spans="1:7" ht="15" thickBot="1" x14ac:dyDescent="0.35">
      <c r="A27" s="14">
        <v>3</v>
      </c>
      <c r="B27" s="34"/>
      <c r="C27" s="22"/>
      <c r="D27" s="23"/>
      <c r="E27" s="35"/>
      <c r="F27" s="36"/>
      <c r="G27" s="20"/>
    </row>
    <row r="28" spans="1:7" ht="15" thickBot="1" x14ac:dyDescent="0.35">
      <c r="A28" s="14">
        <v>4</v>
      </c>
      <c r="B28" s="34"/>
      <c r="C28" s="22"/>
      <c r="D28" s="23"/>
      <c r="E28" s="35"/>
      <c r="F28" s="36"/>
      <c r="G28" s="20"/>
    </row>
    <row r="29" spans="1:7" ht="15" thickBot="1" x14ac:dyDescent="0.35">
      <c r="A29" s="14">
        <v>5</v>
      </c>
      <c r="B29" s="34"/>
      <c r="C29" s="22"/>
      <c r="D29" s="23"/>
      <c r="E29" s="35"/>
      <c r="F29" s="36"/>
      <c r="G29" s="20"/>
    </row>
    <row r="30" spans="1:7" ht="15" thickBot="1" x14ac:dyDescent="0.35">
      <c r="A30" s="14">
        <v>6</v>
      </c>
      <c r="B30" s="34"/>
      <c r="C30" s="37"/>
      <c r="D30" s="23"/>
      <c r="E30" s="35"/>
      <c r="F30" s="36"/>
      <c r="G30" s="20"/>
    </row>
    <row r="31" spans="1:7" ht="15" thickBot="1" x14ac:dyDescent="0.35">
      <c r="A31" s="14">
        <v>7</v>
      </c>
      <c r="B31" s="34"/>
      <c r="C31" s="37"/>
      <c r="D31" s="23"/>
      <c r="E31" s="35"/>
      <c r="F31" s="36"/>
      <c r="G31" s="20"/>
    </row>
    <row r="32" spans="1:7" ht="15" thickBot="1" x14ac:dyDescent="0.35">
      <c r="C32" s="17" t="s">
        <v>25</v>
      </c>
      <c r="D32" s="17"/>
      <c r="E32" s="17"/>
      <c r="F32" s="30">
        <f>SUM(F25:F31)</f>
        <v>3974</v>
      </c>
    </row>
    <row r="33" spans="2:7" ht="15" thickBot="1" x14ac:dyDescent="0.35">
      <c r="C33" s="41" t="s">
        <v>26</v>
      </c>
      <c r="D33" s="41"/>
      <c r="E33" s="59"/>
      <c r="F33" s="29">
        <f>F34/6</f>
        <v>3091.9333333333329</v>
      </c>
      <c r="G33" s="13" t="s">
        <v>1</v>
      </c>
    </row>
    <row r="34" spans="2:7" ht="15" thickBot="1" x14ac:dyDescent="0.35">
      <c r="B34" s="41" t="s">
        <v>27</v>
      </c>
      <c r="C34" s="41"/>
      <c r="D34" s="41"/>
      <c r="E34" s="41"/>
      <c r="F34" s="29">
        <f>F22+F32</f>
        <v>18551.599999999999</v>
      </c>
      <c r="G34" s="13"/>
    </row>
    <row r="35" spans="2:7" x14ac:dyDescent="0.3">
      <c r="B35" s="38" t="s">
        <v>28</v>
      </c>
      <c r="C35" s="20"/>
      <c r="D35" s="20"/>
      <c r="E35" s="20"/>
    </row>
  </sheetData>
  <mergeCells count="12">
    <mergeCell ref="B34:E34"/>
    <mergeCell ref="A7:D7"/>
    <mergeCell ref="E7:F7"/>
    <mergeCell ref="E8:F8"/>
    <mergeCell ref="C9:F9"/>
    <mergeCell ref="E10:F10"/>
    <mergeCell ref="C11:F11"/>
    <mergeCell ref="C12:F12"/>
    <mergeCell ref="B13:E13"/>
    <mergeCell ref="C22:E22"/>
    <mergeCell ref="A23:F23"/>
    <mergeCell ref="C33:E33"/>
  </mergeCells>
  <hyperlinks>
    <hyperlink ref="B25" r:id="rId1" tooltip="DATAKOM BC-5A-W Високоефективний зарядний пристрій" display="https://www.datakom.kiev.ua/catalog/ustatkuvannya_dlya_elektrogeneratoriv/zaryadni_pristroi_ta_bloki_zhivlennya/datakom_bc_5a_w_visokoefektivniy_zaryadniy_pristriy/" xr:uid="{B9E78CBE-C35A-4C93-AE2A-81C4DF31EB02}"/>
  </hyperlinks>
  <pageMargins left="0.74803149606299213" right="0.3543307086614173" top="0.39370078740157483" bottom="0.39370078740157483" header="0.51181102362204722" footer="0.51181102362204722"/>
  <pageSetup paperSize="9" scale="87" fitToHeight="0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Виктор Бугай</cp:lastModifiedBy>
  <cp:lastPrinted>2026-07-23T08:21:39Z</cp:lastPrinted>
  <dcterms:created xsi:type="dcterms:W3CDTF">2015-06-05T18:19:34Z</dcterms:created>
  <dcterms:modified xsi:type="dcterms:W3CDTF">2026-08-04T09:27:07Z</dcterms:modified>
</cp:coreProperties>
</file>