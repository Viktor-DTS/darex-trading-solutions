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dts-service\"/>
    </mc:Choice>
  </mc:AlternateContent>
  <xr:revisionPtr revIDLastSave="0" documentId="8_{7992C2A6-B4FC-4F60-937C-6884980D97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ES 70 SA" sheetId="2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0" i="27" l="1"/>
  <c r="G21" i="27"/>
  <c r="G20" i="27"/>
  <c r="G19" i="27"/>
  <c r="G18" i="27"/>
  <c r="G17" i="27"/>
  <c r="G16" i="27"/>
  <c r="G15" i="27"/>
  <c r="G23" i="27" l="1"/>
  <c r="G32" i="27" s="1"/>
  <c r="G31" i="27" s="1"/>
  <c r="G22" i="27" l="1"/>
</calcChain>
</file>

<file path=xl/sharedStrings.xml><?xml version="1.0" encoding="utf-8"?>
<sst xmlns="http://schemas.openxmlformats.org/spreadsheetml/2006/main" count="52" uniqueCount="38">
  <si>
    <t>ФС.004 V1.2</t>
  </si>
  <si>
    <t xml:space="preserve"> </t>
  </si>
  <si>
    <t>Дата</t>
  </si>
  <si>
    <t>Найменування обладнання</t>
  </si>
  <si>
    <t>Замовник</t>
  </si>
  <si>
    <t>Адреса</t>
  </si>
  <si>
    <t>1. Виконані роботи</t>
  </si>
  <si>
    <t>№</t>
  </si>
  <si>
    <t>Найменування робіт</t>
  </si>
  <si>
    <t>Кількість</t>
  </si>
  <si>
    <t>Од. виміру</t>
  </si>
  <si>
    <t>ПДВ 20%</t>
  </si>
  <si>
    <t>Разом з ПДВ, загальна сума, грн. :</t>
  </si>
  <si>
    <t>Найменування</t>
  </si>
  <si>
    <t xml:space="preserve">Разом,  роботи та матеріали з ПДВ,грн. : </t>
  </si>
  <si>
    <t>Керівник сервісної служби   _________________________________________</t>
  </si>
  <si>
    <t>Кошторис на ТО та роботи з відновлення працездатності  №</t>
  </si>
  <si>
    <t>Сума,грн. з ПДВ</t>
  </si>
  <si>
    <t>Вартість,грн.з ПДВ</t>
  </si>
  <si>
    <t>Разом матеріали та запасні части  з ПДВ.:</t>
  </si>
  <si>
    <t>Загальная сума ПДВ, грн. :</t>
  </si>
  <si>
    <t>АТ КБ ПРИВАТ БАНК</t>
  </si>
  <si>
    <t>послуга</t>
  </si>
  <si>
    <t>Інвентарний №/Серійний №</t>
  </si>
  <si>
    <t>ESTAR BES-70 SA</t>
  </si>
  <si>
    <t>IN2502190000001790</t>
  </si>
  <si>
    <t>ID995608</t>
  </si>
  <si>
    <t xml:space="preserve">м. Тернопіль, вул. Монастирського, 50/1 </t>
  </si>
  <si>
    <t>км</t>
  </si>
  <si>
    <t>Транспортні витрати (м. Тернопіль, вул. Монастирського, 50/1 - м. Львів, вул. Городоцька, 207 )</t>
  </si>
  <si>
    <t>м</t>
  </si>
  <si>
    <t>Зворотній клапан 10мм</t>
  </si>
  <si>
    <t>Шланг паливний FUB  Fuel  SMPR 10мм</t>
  </si>
  <si>
    <t>шт</t>
  </si>
  <si>
    <t>Категорія РЕМОНТ:3. Ремонт вузлів та систем, що відносяться до двигуна, п. 3.17 Заміна паливного шланга</t>
  </si>
  <si>
    <t>Категорія ІНШІ РОБОТИ: п. 6.4 Виклик майстра в робочий час (прибуття майстра на відділення) (08:00 - 18:00)</t>
  </si>
  <si>
    <t>LV-0000665</t>
  </si>
  <si>
    <t>06.07.2026р.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</si>
</sst>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  <font>
      <b/>
      <sz val="14"/>
      <color theme="1"/>
      <name val="Times New Roman"/>
      <family val="1"/>
      <charset val="204"/>
    </font>
    <font>
      <sz val="14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11"/>
      <color theme="1"/>
      <name val="Arial"/>
      <family val="2"/>
      <charset val="204"/>
    </font>
    <font>
      <sz val="11"/>
      <color theme="1"/>
      <name val="Calibri Light"/>
      <family val="2"/>
      <charset val="204"/>
      <scheme val="major"/>
    </font>
    <font>
      <b/>
      <sz val="11"/>
      <color theme="1"/>
      <name val="Calibri Light"/>
      <family val="2"/>
      <charset val="204"/>
      <scheme val="major"/>
    </font>
    <font>
      <b/>
      <sz val="12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9"/>
      <color theme="1"/>
      <name val="Calibri"/>
      <family val="2"/>
      <charset val="204"/>
      <scheme val="minor"/>
    </font>
    <font>
      <sz val="9"/>
      <color theme="1"/>
      <name val="Arial"/>
      <family val="2"/>
      <charset val="204"/>
    </font>
    <font>
      <b/>
      <sz val="9"/>
      <color theme="1"/>
      <name val="Calibri"/>
      <family val="2"/>
      <charset val="204"/>
      <scheme val="minor"/>
    </font>
    <font>
      <sz val="9"/>
      <color theme="1"/>
      <name val="Calibri Light"/>
      <family val="2"/>
      <charset val="204"/>
      <scheme val="major"/>
    </font>
    <font>
      <sz val="9"/>
      <color rgb="FF000000"/>
      <name val="Calibri Light"/>
      <family val="2"/>
      <charset val="204"/>
      <scheme val="major"/>
    </font>
    <font>
      <b/>
      <sz val="8"/>
      <color theme="1"/>
      <name val="Arial"/>
      <family val="2"/>
      <charset val="204"/>
    </font>
    <font>
      <b/>
      <sz val="9"/>
      <color theme="1"/>
      <name val="Calibri Light"/>
      <family val="2"/>
      <charset val="204"/>
      <scheme val="maj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Alignment="1">
      <alignment horizontal="right"/>
    </xf>
    <xf numFmtId="0" fontId="4" fillId="0" borderId="0" xfId="0" applyFont="1" applyAlignment="1">
      <alignment horizontal="left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9" fillId="0" borderId="0" xfId="0" applyFont="1" applyAlignment="1">
      <alignment vertical="center"/>
    </xf>
    <xf numFmtId="0" fontId="0" fillId="0" borderId="0" xfId="0" applyAlignment="1">
      <alignment vertical="center"/>
    </xf>
    <xf numFmtId="0" fontId="10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/>
    </xf>
    <xf numFmtId="0" fontId="11" fillId="0" borderId="6" xfId="0" applyFont="1" applyBorder="1" applyAlignment="1">
      <alignment wrapText="1"/>
    </xf>
    <xf numFmtId="1" fontId="11" fillId="0" borderId="6" xfId="0" applyNumberFormat="1" applyFont="1" applyBorder="1" applyAlignment="1">
      <alignment horizontal="center" vertical="center"/>
    </xf>
    <xf numFmtId="49" fontId="11" fillId="0" borderId="6" xfId="0" applyNumberFormat="1" applyFont="1" applyBorder="1" applyAlignment="1">
      <alignment horizontal="center" vertical="center"/>
    </xf>
    <xf numFmtId="2" fontId="11" fillId="0" borderId="6" xfId="0" applyNumberFormat="1" applyFont="1" applyBorder="1" applyAlignment="1">
      <alignment vertical="center"/>
    </xf>
    <xf numFmtId="4" fontId="11" fillId="0" borderId="6" xfId="0" applyNumberFormat="1" applyFont="1" applyBorder="1" applyAlignment="1">
      <alignment vertical="center"/>
    </xf>
    <xf numFmtId="0" fontId="11" fillId="0" borderId="0" xfId="0" applyFont="1"/>
    <xf numFmtId="4" fontId="11" fillId="0" borderId="6" xfId="0" applyNumberFormat="1" applyFont="1" applyBorder="1"/>
    <xf numFmtId="2" fontId="11" fillId="0" borderId="6" xfId="0" applyNumberFormat="1" applyFont="1" applyBorder="1"/>
    <xf numFmtId="4" fontId="1" fillId="0" borderId="7" xfId="0" applyNumberFormat="1" applyFont="1" applyBorder="1"/>
    <xf numFmtId="0" fontId="1" fillId="0" borderId="0" xfId="0" applyFont="1" applyAlignment="1">
      <alignment horizontal="right"/>
    </xf>
    <xf numFmtId="4" fontId="1" fillId="0" borderId="6" xfId="0" applyNumberFormat="1" applyFont="1" applyBorder="1"/>
    <xf numFmtId="4" fontId="0" fillId="0" borderId="0" xfId="0" applyNumberFormat="1"/>
    <xf numFmtId="0" fontId="12" fillId="0" borderId="6" xfId="0" applyFont="1" applyBorder="1" applyAlignment="1">
      <alignment horizontal="center" vertical="center"/>
    </xf>
    <xf numFmtId="0" fontId="11" fillId="0" borderId="6" xfId="0" applyFont="1" applyBorder="1"/>
    <xf numFmtId="0" fontId="13" fillId="0" borderId="0" xfId="0" applyFont="1"/>
    <xf numFmtId="0" fontId="3" fillId="0" borderId="0" xfId="0" applyFont="1" applyAlignment="1">
      <alignment horizontal="left" vertical="center"/>
    </xf>
    <xf numFmtId="0" fontId="1" fillId="0" borderId="0" xfId="0" applyFont="1"/>
    <xf numFmtId="0" fontId="7" fillId="0" borderId="4" xfId="0" applyFont="1" applyBorder="1"/>
    <xf numFmtId="49" fontId="11" fillId="0" borderId="0" xfId="0" applyNumberFormat="1" applyFont="1" applyAlignment="1">
      <alignment wrapText="1"/>
    </xf>
    <xf numFmtId="4" fontId="1" fillId="0" borderId="9" xfId="0" applyNumberFormat="1" applyFont="1" applyBorder="1"/>
    <xf numFmtId="4" fontId="1" fillId="0" borderId="10" xfId="0" applyNumberFormat="1" applyFont="1" applyBorder="1"/>
    <xf numFmtId="1" fontId="8" fillId="0" borderId="2" xfId="0" applyNumberFormat="1" applyFont="1" applyBorder="1"/>
    <xf numFmtId="0" fontId="15" fillId="0" borderId="8" xfId="0" applyFont="1" applyBorder="1" applyAlignment="1">
      <alignment vertical="center" wrapText="1"/>
    </xf>
    <xf numFmtId="1" fontId="14" fillId="0" borderId="6" xfId="0" applyNumberFormat="1" applyFont="1" applyBorder="1" applyAlignment="1">
      <alignment horizontal="center" vertical="center"/>
    </xf>
    <xf numFmtId="49" fontId="14" fillId="0" borderId="6" xfId="0" applyNumberFormat="1" applyFont="1" applyBorder="1" applyAlignment="1">
      <alignment horizontal="center" vertical="center"/>
    </xf>
    <xf numFmtId="2" fontId="14" fillId="0" borderId="6" xfId="0" applyNumberFormat="1" applyFont="1" applyBorder="1" applyAlignment="1">
      <alignment vertical="center"/>
    </xf>
    <xf numFmtId="4" fontId="14" fillId="0" borderId="6" xfId="0" applyNumberFormat="1" applyFont="1" applyBorder="1" applyAlignment="1">
      <alignment vertical="center"/>
    </xf>
    <xf numFmtId="0" fontId="14" fillId="0" borderId="0" xfId="0" applyFont="1"/>
    <xf numFmtId="0" fontId="15" fillId="0" borderId="0" xfId="0" applyFont="1"/>
    <xf numFmtId="49" fontId="14" fillId="0" borderId="6" xfId="0" applyNumberFormat="1" applyFont="1" applyBorder="1" applyAlignment="1">
      <alignment horizontal="justify" vertical="center" wrapText="1"/>
    </xf>
    <xf numFmtId="0" fontId="14" fillId="0" borderId="0" xfId="0" applyFont="1" applyAlignment="1">
      <alignment vertical="center"/>
    </xf>
    <xf numFmtId="49" fontId="14" fillId="0" borderId="6" xfId="0" applyNumberFormat="1" applyFont="1" applyBorder="1" applyAlignment="1">
      <alignment wrapText="1"/>
    </xf>
    <xf numFmtId="0" fontId="16" fillId="0" borderId="6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8" fillId="0" borderId="2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right"/>
    </xf>
    <xf numFmtId="49" fontId="3" fillId="0" borderId="2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horizontal="left" vertical="center"/>
    </xf>
    <xf numFmtId="14" fontId="5" fillId="0" borderId="2" xfId="0" applyNumberFormat="1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8" fillId="0" borderId="2" xfId="0" applyFont="1" applyBorder="1" applyAlignment="1">
      <alignment horizontal="center" wrapText="1"/>
    </xf>
    <xf numFmtId="0" fontId="8" fillId="0" borderId="4" xfId="0" applyFont="1" applyBorder="1" applyAlignment="1">
      <alignment horizontal="center" wrapText="1"/>
    </xf>
    <xf numFmtId="0" fontId="8" fillId="0" borderId="3" xfId="0" applyFont="1" applyBorder="1" applyAlignment="1">
      <alignment horizontal="center" wrapText="1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9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right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59635</xdr:colOff>
      <xdr:row>0</xdr:row>
      <xdr:rowOff>0</xdr:rowOff>
    </xdr:from>
    <xdr:to>
      <xdr:col>6</xdr:col>
      <xdr:colOff>59497</xdr:colOff>
      <xdr:row>4</xdr:row>
      <xdr:rowOff>37382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9D03A2E6-E742-4D84-8A3C-28FF71C7AA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275" y="0"/>
          <a:ext cx="6476862" cy="7841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36"/>
  <sheetViews>
    <sheetView tabSelected="1" topLeftCell="A10" zoomScale="88" zoomScaleNormal="88" workbookViewId="0">
      <selection activeCell="D12" sqref="D12:G12"/>
    </sheetView>
  </sheetViews>
  <sheetFormatPr defaultRowHeight="14.4" x14ac:dyDescent="0.3"/>
  <cols>
    <col min="1" max="1" width="2.44140625" customWidth="1"/>
    <col min="2" max="2" width="5" customWidth="1"/>
    <col min="3" max="3" width="41.5546875" customWidth="1"/>
    <col min="4" max="4" width="20.6640625" customWidth="1"/>
    <col min="5" max="5" width="11.5546875" customWidth="1"/>
    <col min="6" max="6" width="15.6640625" customWidth="1"/>
    <col min="7" max="7" width="11.88671875" customWidth="1"/>
    <col min="8" max="8" width="8.6640625" customWidth="1"/>
    <col min="9" max="9" width="8.88671875" customWidth="1"/>
  </cols>
  <sheetData>
    <row r="1" spans="2:10" ht="12.6" customHeight="1" x14ac:dyDescent="0.3">
      <c r="G1" t="s">
        <v>0</v>
      </c>
    </row>
    <row r="2" spans="2:10" ht="17.399999999999999" customHeight="1" x14ac:dyDescent="0.3">
      <c r="G2" s="1" t="s">
        <v>1</v>
      </c>
    </row>
    <row r="5" spans="2:10" ht="3.6" customHeight="1" x14ac:dyDescent="0.3"/>
    <row r="6" spans="2:10" ht="4.2" customHeight="1" thickBot="1" x14ac:dyDescent="0.35"/>
    <row r="7" spans="2:10" ht="18.600000000000001" thickBot="1" x14ac:dyDescent="0.4">
      <c r="B7" s="50" t="s">
        <v>16</v>
      </c>
      <c r="C7" s="50"/>
      <c r="D7" s="50"/>
      <c r="E7" s="51"/>
      <c r="F7" s="52" t="s">
        <v>36</v>
      </c>
      <c r="G7" s="53"/>
      <c r="H7" s="28"/>
      <c r="I7" s="2"/>
      <c r="J7" t="s">
        <v>1</v>
      </c>
    </row>
    <row r="8" spans="2:10" ht="17.399999999999999" customHeight="1" thickBot="1" x14ac:dyDescent="0.4">
      <c r="D8" s="3"/>
      <c r="E8" s="4" t="s">
        <v>2</v>
      </c>
      <c r="F8" s="54" t="s">
        <v>37</v>
      </c>
      <c r="G8" s="55"/>
      <c r="H8" s="3"/>
      <c r="I8" s="5"/>
    </row>
    <row r="9" spans="2:10" ht="15" customHeight="1" thickBot="1" x14ac:dyDescent="0.35">
      <c r="B9" s="6" t="s">
        <v>3</v>
      </c>
      <c r="C9" s="7"/>
      <c r="D9" s="56" t="s">
        <v>24</v>
      </c>
      <c r="E9" s="57"/>
      <c r="F9" s="57"/>
      <c r="G9" s="58"/>
    </row>
    <row r="10" spans="2:10" ht="15" thickBot="1" x14ac:dyDescent="0.35">
      <c r="B10" s="6" t="s">
        <v>23</v>
      </c>
      <c r="C10" s="7"/>
      <c r="D10" s="34" t="s">
        <v>25</v>
      </c>
      <c r="E10" s="30"/>
      <c r="F10" s="59" t="s">
        <v>26</v>
      </c>
      <c r="G10" s="60"/>
    </row>
    <row r="11" spans="2:10" ht="15" thickBot="1" x14ac:dyDescent="0.35">
      <c r="B11" s="6" t="s">
        <v>4</v>
      </c>
      <c r="C11" s="7"/>
      <c r="D11" s="47" t="s">
        <v>21</v>
      </c>
      <c r="E11" s="48"/>
      <c r="F11" s="48"/>
      <c r="G11" s="49"/>
    </row>
    <row r="12" spans="2:10" ht="15" thickBot="1" x14ac:dyDescent="0.35">
      <c r="B12" s="6" t="s">
        <v>5</v>
      </c>
      <c r="C12" s="7"/>
      <c r="D12" s="47" t="s">
        <v>27</v>
      </c>
      <c r="E12" s="48"/>
      <c r="F12" s="48"/>
      <c r="G12" s="49"/>
    </row>
    <row r="13" spans="2:10" s="9" customFormat="1" ht="18" customHeight="1" thickBot="1" x14ac:dyDescent="0.35">
      <c r="B13" s="8"/>
      <c r="C13" s="61" t="s">
        <v>6</v>
      </c>
      <c r="D13" s="62"/>
      <c r="E13" s="62"/>
      <c r="F13" s="62"/>
    </row>
    <row r="14" spans="2:10" ht="25.2" customHeight="1" thickBot="1" x14ac:dyDescent="0.35">
      <c r="B14" s="45" t="s">
        <v>7</v>
      </c>
      <c r="C14" s="10" t="s">
        <v>8</v>
      </c>
      <c r="D14" s="10" t="s">
        <v>9</v>
      </c>
      <c r="E14" s="10" t="s">
        <v>10</v>
      </c>
      <c r="F14" s="11" t="s">
        <v>18</v>
      </c>
      <c r="G14" s="11" t="s">
        <v>17</v>
      </c>
      <c r="H14" s="24"/>
      <c r="I14" t="s">
        <v>1</v>
      </c>
    </row>
    <row r="15" spans="2:10" s="40" customFormat="1" ht="23.4" customHeight="1" thickBot="1" x14ac:dyDescent="0.3">
      <c r="B15" s="46">
        <v>1</v>
      </c>
      <c r="C15" s="35" t="s">
        <v>34</v>
      </c>
      <c r="D15" s="36">
        <v>1</v>
      </c>
      <c r="E15" s="37" t="s">
        <v>22</v>
      </c>
      <c r="F15" s="38">
        <v>1800</v>
      </c>
      <c r="G15" s="39">
        <f>F15*D15</f>
        <v>1800</v>
      </c>
    </row>
    <row r="16" spans="2:10" s="40" customFormat="1" ht="12.6" thickBot="1" x14ac:dyDescent="0.3">
      <c r="B16" s="46">
        <v>2</v>
      </c>
      <c r="C16" s="41" t="s">
        <v>35</v>
      </c>
      <c r="D16" s="36">
        <v>1</v>
      </c>
      <c r="E16" s="37" t="s">
        <v>22</v>
      </c>
      <c r="F16" s="38">
        <v>800</v>
      </c>
      <c r="G16" s="39">
        <f>F16*D16</f>
        <v>800</v>
      </c>
    </row>
    <row r="17" spans="2:10" s="43" customFormat="1" ht="12" customHeight="1" thickBot="1" x14ac:dyDescent="0.35">
      <c r="B17" s="46">
        <v>3</v>
      </c>
      <c r="C17" s="42"/>
      <c r="D17" s="36">
        <v>1</v>
      </c>
      <c r="E17" s="37" t="s">
        <v>22</v>
      </c>
      <c r="F17" s="38"/>
      <c r="G17" s="39">
        <f t="shared" ref="G17:G21" si="0">F17*D17</f>
        <v>0</v>
      </c>
    </row>
    <row r="18" spans="2:10" s="40" customFormat="1" ht="12" customHeight="1" thickBot="1" x14ac:dyDescent="0.3">
      <c r="B18" s="46">
        <v>4</v>
      </c>
      <c r="C18" s="44"/>
      <c r="D18" s="36">
        <v>1</v>
      </c>
      <c r="E18" s="37" t="s">
        <v>22</v>
      </c>
      <c r="F18" s="38"/>
      <c r="G18" s="39">
        <f t="shared" si="0"/>
        <v>0</v>
      </c>
    </row>
    <row r="19" spans="2:10" s="40" customFormat="1" ht="12.6" thickBot="1" x14ac:dyDescent="0.3">
      <c r="B19" s="46">
        <v>5</v>
      </c>
      <c r="C19" s="44"/>
      <c r="D19" s="36">
        <v>1</v>
      </c>
      <c r="E19" s="37" t="s">
        <v>22</v>
      </c>
      <c r="F19" s="38"/>
      <c r="G19" s="39">
        <f t="shared" si="0"/>
        <v>0</v>
      </c>
    </row>
    <row r="20" spans="2:10" s="40" customFormat="1" ht="12.6" thickBot="1" x14ac:dyDescent="0.3">
      <c r="B20" s="46">
        <v>6</v>
      </c>
      <c r="C20" s="44"/>
      <c r="D20" s="36">
        <v>1</v>
      </c>
      <c r="E20" s="37" t="s">
        <v>22</v>
      </c>
      <c r="F20" s="38"/>
      <c r="G20" s="39">
        <f t="shared" si="0"/>
        <v>0</v>
      </c>
    </row>
    <row r="21" spans="2:10" s="40" customFormat="1" ht="12.6" thickBot="1" x14ac:dyDescent="0.3">
      <c r="B21" s="46">
        <v>7</v>
      </c>
      <c r="C21" s="44"/>
      <c r="D21" s="36">
        <v>1</v>
      </c>
      <c r="E21" s="37" t="s">
        <v>22</v>
      </c>
      <c r="F21" s="38"/>
      <c r="G21" s="39">
        <f t="shared" si="0"/>
        <v>0</v>
      </c>
    </row>
    <row r="22" spans="2:10" ht="15" thickBot="1" x14ac:dyDescent="0.35">
      <c r="D22" s="22"/>
      <c r="E22" s="1"/>
      <c r="F22" s="22" t="s">
        <v>11</v>
      </c>
      <c r="G22" s="23">
        <f>G23/6</f>
        <v>433.33333333333331</v>
      </c>
    </row>
    <row r="23" spans="2:10" ht="15" thickBot="1" x14ac:dyDescent="0.35">
      <c r="C23" s="31"/>
      <c r="D23" s="63" t="s">
        <v>12</v>
      </c>
      <c r="E23" s="63"/>
      <c r="F23" s="63"/>
      <c r="G23" s="32">
        <f>SUM(G15:G21)</f>
        <v>2600</v>
      </c>
    </row>
    <row r="24" spans="2:10" ht="15" thickBot="1" x14ac:dyDescent="0.35">
      <c r="C24" s="31"/>
      <c r="D24" s="22"/>
      <c r="E24" s="22"/>
      <c r="F24" s="22"/>
      <c r="G24" s="33"/>
    </row>
    <row r="25" spans="2:10" s="18" customFormat="1" ht="24" customHeight="1" thickBot="1" x14ac:dyDescent="0.3">
      <c r="B25" s="25" t="s">
        <v>7</v>
      </c>
      <c r="C25" s="25" t="s">
        <v>13</v>
      </c>
      <c r="D25" s="10" t="s">
        <v>9</v>
      </c>
      <c r="E25" s="10" t="s">
        <v>10</v>
      </c>
      <c r="F25" s="11" t="s">
        <v>18</v>
      </c>
      <c r="G25" s="11" t="s">
        <v>17</v>
      </c>
    </row>
    <row r="26" spans="2:10" s="18" customFormat="1" ht="24.6" customHeight="1" thickBot="1" x14ac:dyDescent="0.3">
      <c r="B26" s="12">
        <v>1</v>
      </c>
      <c r="C26" s="13" t="s">
        <v>29</v>
      </c>
      <c r="D26" s="14">
        <v>147</v>
      </c>
      <c r="E26" s="15" t="s">
        <v>28</v>
      </c>
      <c r="F26" s="16">
        <v>35</v>
      </c>
      <c r="G26" s="17">
        <v>5145</v>
      </c>
    </row>
    <row r="27" spans="2:10" s="18" customFormat="1" ht="12.6" thickBot="1" x14ac:dyDescent="0.3">
      <c r="B27" s="12">
        <v>2</v>
      </c>
      <c r="C27" s="26" t="s">
        <v>32</v>
      </c>
      <c r="D27" s="14">
        <v>2</v>
      </c>
      <c r="E27" s="15" t="s">
        <v>30</v>
      </c>
      <c r="F27" s="20">
        <v>282</v>
      </c>
      <c r="G27" s="19">
        <v>564</v>
      </c>
    </row>
    <row r="28" spans="2:10" s="18" customFormat="1" ht="12.6" thickBot="1" x14ac:dyDescent="0.3">
      <c r="B28" s="12">
        <v>3</v>
      </c>
      <c r="C28" s="26" t="s">
        <v>31</v>
      </c>
      <c r="D28" s="14">
        <v>1</v>
      </c>
      <c r="E28" s="15" t="s">
        <v>33</v>
      </c>
      <c r="F28" s="20">
        <v>90</v>
      </c>
      <c r="G28" s="19">
        <v>90</v>
      </c>
    </row>
    <row r="29" spans="2:10" s="18" customFormat="1" ht="12.6" thickBot="1" x14ac:dyDescent="0.3">
      <c r="B29" s="12">
        <v>4</v>
      </c>
      <c r="C29" s="26"/>
      <c r="D29" s="14"/>
      <c r="E29" s="15"/>
      <c r="F29" s="20"/>
      <c r="G29" s="19"/>
    </row>
    <row r="30" spans="2:10" ht="15" thickBot="1" x14ac:dyDescent="0.35">
      <c r="D30" s="29" t="s">
        <v>19</v>
      </c>
      <c r="E30" s="29"/>
      <c r="F30" s="29"/>
      <c r="G30" s="21">
        <f>SUM(G26:G29)</f>
        <v>5799</v>
      </c>
    </row>
    <row r="31" spans="2:10" ht="15" thickBot="1" x14ac:dyDescent="0.35">
      <c r="D31" s="63" t="s">
        <v>20</v>
      </c>
      <c r="E31" s="63"/>
      <c r="F31" s="64"/>
      <c r="G31" s="23">
        <f>G32/6</f>
        <v>1399.8333333333333</v>
      </c>
      <c r="H31" s="24" t="s">
        <v>1</v>
      </c>
      <c r="J31" s="24"/>
    </row>
    <row r="32" spans="2:10" ht="16.95" customHeight="1" thickBot="1" x14ac:dyDescent="0.35">
      <c r="C32" s="63" t="s">
        <v>14</v>
      </c>
      <c r="D32" s="63"/>
      <c r="E32" s="63"/>
      <c r="F32" s="63"/>
      <c r="G32" s="23">
        <f>G23+G30</f>
        <v>8399</v>
      </c>
      <c r="H32" s="24"/>
      <c r="J32" s="24"/>
    </row>
    <row r="33" spans="3:6" ht="23.4" customHeight="1" x14ac:dyDescent="0.3">
      <c r="C33" s="27" t="s">
        <v>15</v>
      </c>
      <c r="D33" s="18"/>
      <c r="E33" s="18"/>
      <c r="F33" s="18"/>
    </row>
    <row r="35" spans="3:6" ht="6" customHeight="1" x14ac:dyDescent="0.3"/>
    <row r="36" spans="3:6" ht="0.6" hidden="1" customHeight="1" x14ac:dyDescent="0.3"/>
  </sheetData>
  <mergeCells count="11">
    <mergeCell ref="D12:G12"/>
    <mergeCell ref="C13:F13"/>
    <mergeCell ref="D23:F23"/>
    <mergeCell ref="D31:F31"/>
    <mergeCell ref="C32:F32"/>
    <mergeCell ref="D11:G11"/>
    <mergeCell ref="B7:E7"/>
    <mergeCell ref="F7:G7"/>
    <mergeCell ref="F8:G8"/>
    <mergeCell ref="D9:G9"/>
    <mergeCell ref="F10:G10"/>
  </mergeCells>
  <pageMargins left="0.25" right="0.25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BES 70 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Виктор Бугай</cp:lastModifiedBy>
  <cp:lastPrinted>2026-07-21T08:49:57Z</cp:lastPrinted>
  <dcterms:created xsi:type="dcterms:W3CDTF">2024-03-26T12:44:22Z</dcterms:created>
  <dcterms:modified xsi:type="dcterms:W3CDTF">2026-07-21T08:50:21Z</dcterms:modified>
</cp:coreProperties>
</file>